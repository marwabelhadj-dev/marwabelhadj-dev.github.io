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13BE6E5-0D16-4B76-8677-073650E8B277}" xr6:coauthVersionLast="47" xr6:coauthVersionMax="47" xr10:uidLastSave="{00000000-0000-0000-0000-000000000000}"/>
  <bookViews>
    <workbookView xWindow="-120" yWindow="-120" windowWidth="20730" windowHeight="11160" xr2:uid="{B19661F3-43F1-4D92-9D8A-F80E1E5833DB}"/>
  </bookViews>
  <sheets>
    <sheet name="attachment;filename=PortfolioSu" sheetId="1" r:id="rId1"/>
    <sheet name="Open Positions" sheetId="2" r:id="rId2"/>
  </sheets>
  <calcPr calcId="0"/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8" i="1"/>
  <c r="G9" i="1"/>
  <c r="F9" i="1"/>
  <c r="E9" i="1"/>
</calcChain>
</file>

<file path=xl/sharedStrings.xml><?xml version="1.0" encoding="utf-8"?>
<sst xmlns="http://schemas.openxmlformats.org/spreadsheetml/2006/main" count="274" uniqueCount="158">
  <si>
    <t>Market Value</t>
  </si>
  <si>
    <t>SUMMARY</t>
  </si>
  <si>
    <t>Current Portfolio Value</t>
  </si>
  <si>
    <t>Cash Balance</t>
  </si>
  <si>
    <t>Loan Balance</t>
  </si>
  <si>
    <t>Restricted Funds</t>
  </si>
  <si>
    <t>Total Market Value of All Positions</t>
  </si>
  <si>
    <t>Total Trades Made</t>
  </si>
  <si>
    <t>Total Trades Remaining</t>
  </si>
  <si>
    <t>MARKET VALUE</t>
  </si>
  <si>
    <t>Market Value of Long Positions</t>
  </si>
  <si>
    <t>Market Value of Short Positions</t>
  </si>
  <si>
    <t>Accrued Interest Earned on Bonds</t>
  </si>
  <si>
    <t>RETURNS</t>
  </si>
  <si>
    <t>Portfolio Total Return</t>
  </si>
  <si>
    <t>Benchmark Return SP500</t>
  </si>
  <si>
    <t>Your Excess Returns</t>
  </si>
  <si>
    <t>Sharpe Ratio</t>
  </si>
  <si>
    <t>Jensen's Alpha</t>
  </si>
  <si>
    <t>Treynor Ratio</t>
  </si>
  <si>
    <t>Portfolio Beta</t>
  </si>
  <si>
    <t>CASH AND BUYING POWER</t>
  </si>
  <si>
    <t>Buying Power</t>
  </si>
  <si>
    <t>Short Sale Proceeds</t>
  </si>
  <si>
    <t>Interest Earned on Cash</t>
  </si>
  <si>
    <t>Interest Charged on Loan</t>
  </si>
  <si>
    <t>Option/Futures/Forex Margin Requirements</t>
  </si>
  <si>
    <t>Short Margin Requirements</t>
  </si>
  <si>
    <t>Total Commissions Paid</t>
  </si>
  <si>
    <t>Total Dividends Received</t>
  </si>
  <si>
    <t>ALLOCATION BY ASSET TYPE</t>
  </si>
  <si>
    <t>Asset Type</t>
  </si>
  <si>
    <t># Positions</t>
  </si>
  <si>
    <t>Profit / Loss</t>
  </si>
  <si>
    <t>Stocks</t>
  </si>
  <si>
    <t>ETFs</t>
  </si>
  <si>
    <t>Mutual Funds</t>
  </si>
  <si>
    <t>Bonds</t>
  </si>
  <si>
    <t>Futures</t>
  </si>
  <si>
    <t>Options</t>
  </si>
  <si>
    <t>Total</t>
  </si>
  <si>
    <t>TOP 5 GAINERS</t>
  </si>
  <si>
    <t>Symbol</t>
  </si>
  <si>
    <t>Description</t>
  </si>
  <si>
    <t>Return %</t>
  </si>
  <si>
    <t>GC/U6</t>
  </si>
  <si>
    <t>Gold Futures SEP 26</t>
  </si>
  <si>
    <t>ASML</t>
  </si>
  <si>
    <t>ASML Holding NV</t>
  </si>
  <si>
    <t>NQ/H6</t>
  </si>
  <si>
    <t>E-mini Nasdaq-100 MAR 26</t>
  </si>
  <si>
    <t>ESH26C6150</t>
  </si>
  <si>
    <t>S&amp;P 500 3/2026 6150 CALL</t>
  </si>
  <si>
    <t>GOOGL</t>
  </si>
  <si>
    <t>Alphabet Inc - Class A</t>
  </si>
  <si>
    <t>TOP 5 LOSERS</t>
  </si>
  <si>
    <t>FC/U6</t>
  </si>
  <si>
    <t>Feeder Cattle Futures SEP 26</t>
  </si>
  <si>
    <t>LE/G6</t>
  </si>
  <si>
    <t>Live Cattle Futures FEB 26</t>
  </si>
  <si>
    <t>CL/U6</t>
  </si>
  <si>
    <t>CRUDE OIL SEP 16</t>
  </si>
  <si>
    <t>BABA</t>
  </si>
  <si>
    <t>Alibaba Group - ADR</t>
  </si>
  <si>
    <t>E./U6</t>
  </si>
  <si>
    <t>EUR/USD SEP 16</t>
  </si>
  <si>
    <t>Qty</t>
  </si>
  <si>
    <t>Currency</t>
  </si>
  <si>
    <t>Last Price</t>
  </si>
  <si>
    <t>Price Paid</t>
  </si>
  <si>
    <t>Day Change</t>
  </si>
  <si>
    <t>Stock</t>
  </si>
  <si>
    <t>ASML Holding NV - New York Shares</t>
  </si>
  <si>
    <t>USD</t>
  </si>
  <si>
    <t>Alibaba Group Holding Ltd - ADR</t>
  </si>
  <si>
    <t>TSM</t>
  </si>
  <si>
    <t>Taiwan Semiconductor Mfg - ADR</t>
  </si>
  <si>
    <t>SAP</t>
  </si>
  <si>
    <t>Sap SE - ADR</t>
  </si>
  <si>
    <t>GMEXICO B</t>
  </si>
  <si>
    <t>Grupo Mexico S.A. - Class B</t>
  </si>
  <si>
    <t>MXN</t>
  </si>
  <si>
    <t>RIO</t>
  </si>
  <si>
    <t>RIO TINTO</t>
  </si>
  <si>
    <t>GBP</t>
  </si>
  <si>
    <t>TM</t>
  </si>
  <si>
    <t>Toyota Motor Corporation - ADR</t>
  </si>
  <si>
    <t>NVDA</t>
  </si>
  <si>
    <t>NVIDIA Corp</t>
  </si>
  <si>
    <t>LVMUY</t>
  </si>
  <si>
    <t>LVMH Moet Hennessy LV - ADR</t>
  </si>
  <si>
    <t>BMO</t>
  </si>
  <si>
    <t>Bank of Montreal</t>
  </si>
  <si>
    <t>CAD</t>
  </si>
  <si>
    <t>NESN</t>
  </si>
  <si>
    <t>NESTLE N</t>
  </si>
  <si>
    <t>CHF</t>
  </si>
  <si>
    <t>DGE</t>
  </si>
  <si>
    <t>DIAGEO</t>
  </si>
  <si>
    <t>CM</t>
  </si>
  <si>
    <t>Canadian Imperial Bank Of Commerce</t>
  </si>
  <si>
    <t>Nitto Denko Corp</t>
  </si>
  <si>
    <t>JPY</t>
  </si>
  <si>
    <t>TTE</t>
  </si>
  <si>
    <t>TotalEnergies SE</t>
  </si>
  <si>
    <t>EUR</t>
  </si>
  <si>
    <t>SONY CORP</t>
  </si>
  <si>
    <t>BBVA</t>
  </si>
  <si>
    <t>BBVA R</t>
  </si>
  <si>
    <t>GMEXICOB</t>
  </si>
  <si>
    <t>GMEXICO-B</t>
  </si>
  <si>
    <t>ETF</t>
  </si>
  <si>
    <t>VXUS</t>
  </si>
  <si>
    <t>Vanguard Total Intl Stock ETF</t>
  </si>
  <si>
    <t>SPY</t>
  </si>
  <si>
    <t>SPDR S&amp;P 500 ETF Trust</t>
  </si>
  <si>
    <t>EWJV</t>
  </si>
  <si>
    <t>iShares MSCI Japan Value ETF</t>
  </si>
  <si>
    <t>Mutual Fund</t>
  </si>
  <si>
    <t>VCNIX</t>
  </si>
  <si>
    <t>VALIC COM I NASD 100 INDX</t>
  </si>
  <si>
    <t>FXAIX</t>
  </si>
  <si>
    <t>Invesco Investment Funds</t>
  </si>
  <si>
    <t>VBTLX</t>
  </si>
  <si>
    <t>VANGUARD TOTAL BOND MARKET</t>
  </si>
  <si>
    <t>VBPIX</t>
  </si>
  <si>
    <t>Vangrd Baillie Gifford</t>
  </si>
  <si>
    <t>VFINX</t>
  </si>
  <si>
    <t>VANGUARD INDEX TRUST 500</t>
  </si>
  <si>
    <t>Bond</t>
  </si>
  <si>
    <t>B-C-8.125-15072039</t>
  </si>
  <si>
    <t>Citigroup - 8.125% - Jul 2039</t>
  </si>
  <si>
    <t>B-T-6.250-15052030</t>
  </si>
  <si>
    <t>T-BOND 6.250% 15-May-2030</t>
  </si>
  <si>
    <t>B-APPL-3.250-23022026</t>
  </si>
  <si>
    <t>Apple Inc - 3.250% - Feb 2026</t>
  </si>
  <si>
    <t>B-T-2.250-15082027</t>
  </si>
  <si>
    <t>T-BOND 2.250% 15-Aug-2027</t>
  </si>
  <si>
    <t>B-JPY-1.300-10022028</t>
  </si>
  <si>
    <t>7-ELEVEN INC - 1.300% - Feb 2028</t>
  </si>
  <si>
    <t>B-T-2.500-15022046</t>
  </si>
  <si>
    <t>T-BOND 2.500% 15-Feb-2046</t>
  </si>
  <si>
    <t>Future</t>
  </si>
  <si>
    <t>TU/H6</t>
  </si>
  <si>
    <t>2-Year T-Note MAR 26</t>
  </si>
  <si>
    <t>Feeder Cattle SEP 26</t>
  </si>
  <si>
    <t>G2/H6</t>
  </si>
  <si>
    <t>E-mini Russell 2000 MAR 26</t>
  </si>
  <si>
    <t>ZN/H6</t>
  </si>
  <si>
    <t>10-Year T-Note MAR 26</t>
  </si>
  <si>
    <t>Live Cattle FEB 26</t>
  </si>
  <si>
    <t>C./U6</t>
  </si>
  <si>
    <t>CAD/USD SEP 16</t>
  </si>
  <si>
    <t>CSC/U6</t>
  </si>
  <si>
    <t>Cash-Settled Cheese SEP 26</t>
  </si>
  <si>
    <t>Option</t>
  </si>
  <si>
    <t>ESH26C6250</t>
  </si>
  <si>
    <t>S&amp;P 500 3/2026 6250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</si>
</sst>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"/>
    <numFmt numFmtId="165" formatCode="0.000000"/>
    <numFmt numFmtId="166" formatCode="\£#,##0.00;\(\£#,##0.00\)"/>
    <numFmt numFmtId="167" formatCode="0.00%;\(0.00%\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D325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medium">
        <color rgb="FF2D3250"/>
      </bottom>
      <diagonal/>
    </border>
    <border>
      <left/>
      <right/>
      <top style="medium">
        <color rgb="FF2D3250"/>
      </top>
      <bottom style="medium">
        <color rgb="FF2D32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18" fillId="33" borderId="0" xfId="0" applyFont="1" applyFill="1"/>
    <xf numFmtId="14" fontId="0" fillId="33" borderId="0" xfId="0" applyNumberFormat="1" applyFill="1"/>
    <xf numFmtId="164" fontId="0" fillId="0" borderId="0" xfId="0" applyNumberFormat="1"/>
    <xf numFmtId="0" fontId="0" fillId="33" borderId="0" xfId="0" applyFill="1"/>
    <xf numFmtId="10" fontId="19" fillId="0" borderId="0" xfId="0" applyNumberFormat="1" applyFont="1"/>
    <xf numFmtId="0" fontId="16" fillId="0" borderId="0" xfId="0" applyFont="1" applyBorder="1"/>
    <xf numFmtId="164" fontId="16" fillId="0" borderId="0" xfId="0" applyNumberFormat="1" applyFont="1" applyBorder="1"/>
    <xf numFmtId="0" fontId="0" fillId="0" borderId="11" xfId="0" applyBorder="1"/>
    <xf numFmtId="164" fontId="19" fillId="0" borderId="11" xfId="0" applyNumberFormat="1" applyFont="1" applyBorder="1"/>
    <xf numFmtId="164" fontId="0" fillId="0" borderId="11" xfId="0" applyNumberFormat="1" applyBorder="1"/>
    <xf numFmtId="1" fontId="0" fillId="0" borderId="11" xfId="0" applyNumberFormat="1" applyBorder="1"/>
    <xf numFmtId="0" fontId="0" fillId="0" borderId="10" xfId="0" applyBorder="1"/>
    <xf numFmtId="0" fontId="0" fillId="0" borderId="0" xfId="0" applyBorder="1"/>
    <xf numFmtId="164" fontId="0" fillId="0" borderId="0" xfId="0" applyNumberFormat="1" applyBorder="1"/>
    <xf numFmtId="10" fontId="19" fillId="0" borderId="0" xfId="0" applyNumberFormat="1" applyFont="1" applyBorder="1"/>
    <xf numFmtId="10" fontId="19" fillId="0" borderId="11" xfId="0" applyNumberFormat="1" applyFont="1" applyBorder="1"/>
    <xf numFmtId="165" fontId="19" fillId="0" borderId="11" xfId="0" applyNumberFormat="1" applyFont="1" applyBorder="1"/>
    <xf numFmtId="164" fontId="19" fillId="0" borderId="0" xfId="0" applyNumberFormat="1" applyFont="1" applyBorder="1"/>
    <xf numFmtId="164" fontId="14" fillId="0" borderId="11" xfId="0" applyNumberFormat="1" applyFont="1" applyBorder="1"/>
    <xf numFmtId="0" fontId="0" fillId="0" borderId="12" xfId="0" applyBorder="1"/>
    <xf numFmtId="1" fontId="19" fillId="0" borderId="12" xfId="0" applyNumberFormat="1" applyFont="1" applyBorder="1"/>
    <xf numFmtId="0" fontId="16" fillId="0" borderId="12" xfId="0" applyFont="1" applyBorder="1"/>
    <xf numFmtId="164" fontId="20" fillId="0" borderId="12" xfId="0" applyNumberFormat="1" applyFont="1" applyBorder="1"/>
    <xf numFmtId="165" fontId="19" fillId="0" borderId="12" xfId="0" applyNumberFormat="1" applyFont="1" applyBorder="1"/>
    <xf numFmtId="164" fontId="19" fillId="0" borderId="12" xfId="0" applyNumberFormat="1" applyFont="1" applyBorder="1"/>
    <xf numFmtId="0" fontId="16" fillId="34" borderId="0" xfId="0" applyFont="1" applyFill="1"/>
    <xf numFmtId="0" fontId="21" fillId="33" borderId="0" xfId="0" applyFont="1" applyFill="1"/>
    <xf numFmtId="4" fontId="0" fillId="0" borderId="0" xfId="0" applyNumberFormat="1"/>
    <xf numFmtId="0" fontId="0" fillId="35" borderId="0" xfId="0" applyFill="1"/>
    <xf numFmtId="4" fontId="0" fillId="35" borderId="0" xfId="0" applyNumberFormat="1" applyFill="1"/>
    <xf numFmtId="164" fontId="0" fillId="35" borderId="0" xfId="0" applyNumberFormat="1" applyFill="1"/>
    <xf numFmtId="166" fontId="19" fillId="0" borderId="0" xfId="0" applyNumberFormat="1" applyFont="1"/>
    <xf numFmtId="166" fontId="14" fillId="35" borderId="0" xfId="0" applyNumberFormat="1" applyFont="1" applyFill="1"/>
    <xf numFmtId="10" fontId="14" fillId="35" borderId="0" xfId="0" applyNumberFormat="1" applyFont="1" applyFill="1"/>
    <xf numFmtId="166" fontId="14" fillId="0" borderId="0" xfId="0" applyNumberFormat="1" applyFont="1"/>
    <xf numFmtId="10" fontId="14" fillId="0" borderId="0" xfId="0" applyNumberFormat="1" applyFont="1"/>
    <xf numFmtId="166" fontId="19" fillId="35" borderId="0" xfId="0" applyNumberFormat="1" applyFont="1" applyFill="1"/>
    <xf numFmtId="10" fontId="19" fillId="35" borderId="0" xfId="0" applyNumberFormat="1" applyFont="1" applyFill="1"/>
    <xf numFmtId="0" fontId="22" fillId="0" borderId="0" xfId="0" applyFont="1"/>
    <xf numFmtId="0" fontId="22" fillId="35" borderId="0" xfId="0" applyFont="1" applyFill="1"/>
    <xf numFmtId="0" fontId="16" fillId="34" borderId="0" xfId="0" applyFont="1" applyFill="1" applyBorder="1"/>
    <xf numFmtId="0" fontId="16" fillId="34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0" applyNumberFormat="1" applyBorder="1" applyAlignment="1">
      <alignment horizontal="right"/>
    </xf>
    <xf numFmtId="166" fontId="19" fillId="0" borderId="0" xfId="0" applyNumberFormat="1" applyFont="1" applyBorder="1" applyAlignment="1">
      <alignment horizontal="right"/>
    </xf>
    <xf numFmtId="0" fontId="16" fillId="0" borderId="13" xfId="0" applyFont="1" applyBorder="1"/>
    <xf numFmtId="0" fontId="16" fillId="0" borderId="13" xfId="0" applyFont="1" applyBorder="1" applyAlignment="1">
      <alignment horizontal="right"/>
    </xf>
    <xf numFmtId="164" fontId="16" fillId="0" borderId="13" xfId="0" applyNumberFormat="1" applyFont="1" applyBorder="1" applyAlignment="1">
      <alignment horizontal="right"/>
    </xf>
    <xf numFmtId="166" fontId="20" fillId="0" borderId="13" xfId="0" applyNumberFormat="1" applyFont="1" applyBorder="1" applyAlignment="1">
      <alignment horizontal="right"/>
    </xf>
    <xf numFmtId="164" fontId="19" fillId="0" borderId="0" xfId="0" applyNumberFormat="1" applyFont="1" applyBorder="1" applyAlignment="1">
      <alignment horizontal="right"/>
    </xf>
    <xf numFmtId="10" fontId="19" fillId="0" borderId="0" xfId="0" applyNumberFormat="1" applyFont="1" applyBorder="1" applyAlignment="1">
      <alignment horizontal="right"/>
    </xf>
    <xf numFmtId="164" fontId="19" fillId="0" borderId="10" xfId="0" applyNumberFormat="1" applyFont="1" applyBorder="1" applyAlignment="1">
      <alignment horizontal="right"/>
    </xf>
    <xf numFmtId="10" fontId="19" fillId="0" borderId="10" xfId="0" applyNumberFormat="1" applyFont="1" applyBorder="1" applyAlignment="1">
      <alignment horizontal="right"/>
    </xf>
    <xf numFmtId="166" fontId="14" fillId="0" borderId="0" xfId="0" applyNumberFormat="1" applyFont="1" applyBorder="1" applyAlignment="1">
      <alignment horizontal="right"/>
    </xf>
    <xf numFmtId="167" fontId="14" fillId="0" borderId="0" xfId="0" applyNumberFormat="1" applyFont="1" applyBorder="1" applyAlignment="1">
      <alignment horizontal="right"/>
    </xf>
    <xf numFmtId="166" fontId="14" fillId="0" borderId="10" xfId="0" applyNumberFormat="1" applyFont="1" applyBorder="1" applyAlignment="1">
      <alignment horizontal="right"/>
    </xf>
    <xf numFmtId="167" fontId="14" fillId="0" borderId="10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 by Asset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'attachment;filename=PortfolioSu'!$E$27</c:f>
              <c:strCache>
                <c:ptCount val="1"/>
                <c:pt idx="0">
                  <c:v>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'attachment;filename=PortfolioSu'!$D$28:$D$33</c:f>
              <c:strCache>
                <c:ptCount val="6"/>
                <c:pt idx="0">
                  <c:v>Stocks</c:v>
                </c:pt>
                <c:pt idx="1">
                  <c:v>ETFs</c:v>
                </c:pt>
                <c:pt idx="2">
                  <c:v>Mutual Funds</c:v>
                </c:pt>
                <c:pt idx="3">
                  <c:v>Bonds</c:v>
                </c:pt>
                <c:pt idx="4">
                  <c:v>Futures</c:v>
                </c:pt>
                <c:pt idx="5">
                  <c:v>Options</c:v>
                </c:pt>
              </c:strCache>
            </c:strRef>
          </c:cat>
          <c:val>
            <c:numRef>
              <c:f>'attachment;filename=PortfolioSu'!$E$28:$E$33</c:f>
              <c:numCache>
                <c:formatCode>General</c:formatCode>
                <c:ptCount val="6"/>
                <c:pt idx="0">
                  <c:v>238269.94</c:v>
                </c:pt>
                <c:pt idx="1">
                  <c:v>140640.64000000001</c:v>
                </c:pt>
                <c:pt idx="2">
                  <c:v>3124.58</c:v>
                </c:pt>
                <c:pt idx="3">
                  <c:v>45213.02</c:v>
                </c:pt>
                <c:pt idx="4">
                  <c:v>2137255.87</c:v>
                </c:pt>
                <c:pt idx="5">
                  <c:v>58171.31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3-415C-81F9-671F00754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34</xdr:row>
      <xdr:rowOff>0</xdr:rowOff>
    </xdr:from>
    <xdr:to>
      <xdr:col>5</xdr:col>
      <xdr:colOff>1266825</xdr:colOff>
      <xdr:row>48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78DEF-C202-DFE8-1D12-C6FEACD12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4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1D57EA-A962-416F-BD9D-DA0351FD8753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FC2C-37D8-4150-8CAD-3F225318FD9B}">
  <dimension ref="A1:G34"/>
  <sheetViews>
    <sheetView tabSelected="1" workbookViewId="0">
      <selection activeCell="B42" sqref="B42"/>
    </sheetView>
  </sheetViews>
  <sheetFormatPr defaultRowHeight="15" x14ac:dyDescent="0.25"/>
  <cols>
    <col min="1" max="1" width="59" customWidth="1"/>
    <col min="2" max="2" width="28.5703125" customWidth="1"/>
    <col min="3" max="3" width="3.85546875" customWidth="1"/>
    <col min="4" max="4" width="22.85546875" customWidth="1"/>
    <col min="5" max="5" width="26.7109375" customWidth="1"/>
    <col min="6" max="6" width="22.85546875" customWidth="1"/>
    <col min="7" max="7" width="19" customWidth="1"/>
  </cols>
  <sheetData>
    <row r="1" spans="1:7" ht="15.75" x14ac:dyDescent="0.25">
      <c r="A1" s="1" t="s">
        <v>1</v>
      </c>
      <c r="B1" s="2"/>
      <c r="D1" s="1" t="s">
        <v>30</v>
      </c>
      <c r="E1" s="4"/>
      <c r="F1" s="4"/>
      <c r="G1" s="4"/>
    </row>
    <row r="2" spans="1:7" x14ac:dyDescent="0.25">
      <c r="A2" s="6" t="s">
        <v>2</v>
      </c>
      <c r="B2" s="7">
        <v>1107634.5900000001</v>
      </c>
      <c r="D2" s="41" t="s">
        <v>31</v>
      </c>
      <c r="E2" s="42" t="s">
        <v>32</v>
      </c>
      <c r="F2" s="42" t="s">
        <v>0</v>
      </c>
      <c r="G2" s="42" t="s">
        <v>33</v>
      </c>
    </row>
    <row r="3" spans="1:7" x14ac:dyDescent="0.25">
      <c r="A3" s="8" t="s">
        <v>3</v>
      </c>
      <c r="B3" s="9">
        <v>621339.01</v>
      </c>
      <c r="D3" s="13" t="s">
        <v>34</v>
      </c>
      <c r="E3" s="43">
        <v>19</v>
      </c>
      <c r="F3" s="44">
        <v>238269.94</v>
      </c>
      <c r="G3" s="45">
        <v>18909.77</v>
      </c>
    </row>
    <row r="4" spans="1:7" x14ac:dyDescent="0.25">
      <c r="A4" s="8" t="s">
        <v>4</v>
      </c>
      <c r="B4" s="10">
        <v>0</v>
      </c>
      <c r="D4" s="13" t="s">
        <v>35</v>
      </c>
      <c r="E4" s="43">
        <v>3</v>
      </c>
      <c r="F4" s="44">
        <v>140640.64000000001</v>
      </c>
      <c r="G4" s="45">
        <v>268.63</v>
      </c>
    </row>
    <row r="5" spans="1:7" x14ac:dyDescent="0.25">
      <c r="A5" s="8" t="s">
        <v>5</v>
      </c>
      <c r="B5" s="10">
        <v>0</v>
      </c>
      <c r="D5" s="13" t="s">
        <v>36</v>
      </c>
      <c r="E5" s="43">
        <v>5</v>
      </c>
      <c r="F5" s="44">
        <v>3124.58</v>
      </c>
      <c r="G5" s="45">
        <v>22.13</v>
      </c>
    </row>
    <row r="6" spans="1:7" x14ac:dyDescent="0.25">
      <c r="A6" s="8" t="s">
        <v>6</v>
      </c>
      <c r="B6" s="10">
        <v>486971.33</v>
      </c>
      <c r="D6" s="13" t="s">
        <v>37</v>
      </c>
      <c r="E6" s="43">
        <v>6</v>
      </c>
      <c r="F6" s="44">
        <v>45213.02</v>
      </c>
      <c r="G6" s="45">
        <v>333.88</v>
      </c>
    </row>
    <row r="7" spans="1:7" x14ac:dyDescent="0.25">
      <c r="A7" s="8" t="s">
        <v>7</v>
      </c>
      <c r="B7" s="11">
        <v>70</v>
      </c>
      <c r="D7" s="13" t="s">
        <v>38</v>
      </c>
      <c r="E7" s="43">
        <v>11</v>
      </c>
      <c r="F7" s="44">
        <v>2137255.87</v>
      </c>
      <c r="G7" s="45">
        <v>75073.429999999993</v>
      </c>
    </row>
    <row r="8" spans="1:7" ht="15.75" thickBot="1" x14ac:dyDescent="0.3">
      <c r="A8" s="20" t="s">
        <v>8</v>
      </c>
      <c r="B8" s="21">
        <v>230</v>
      </c>
      <c r="D8" s="13" t="s">
        <v>39</v>
      </c>
      <c r="E8" s="43">
        <v>2</v>
      </c>
      <c r="F8" s="44">
        <v>58171.31</v>
      </c>
      <c r="G8" s="45">
        <v>4228.0600000000004</v>
      </c>
    </row>
    <row r="9" spans="1:7" ht="15.75" thickBot="1" x14ac:dyDescent="0.3">
      <c r="D9" s="46" t="s">
        <v>40</v>
      </c>
      <c r="E9" s="47">
        <f>SUM(E3:E8)</f>
        <v>46</v>
      </c>
      <c r="F9" s="48">
        <f>SUM(F3:F8)</f>
        <v>2622675.3600000003</v>
      </c>
      <c r="G9" s="49">
        <f>SUM(G3:G8)</f>
        <v>98835.9</v>
      </c>
    </row>
    <row r="10" spans="1:7" ht="15.75" x14ac:dyDescent="0.25">
      <c r="A10" s="1" t="s">
        <v>9</v>
      </c>
      <c r="B10" s="4"/>
    </row>
    <row r="11" spans="1:7" ht="15.75" x14ac:dyDescent="0.25">
      <c r="A11" s="13" t="s">
        <v>10</v>
      </c>
      <c r="B11" s="14">
        <v>486971.33</v>
      </c>
      <c r="D11" s="1" t="s">
        <v>41</v>
      </c>
      <c r="E11" s="4"/>
      <c r="F11" s="4"/>
      <c r="G11" s="4"/>
    </row>
    <row r="12" spans="1:7" x14ac:dyDescent="0.25">
      <c r="A12" s="8" t="s">
        <v>11</v>
      </c>
      <c r="B12" s="10">
        <v>0</v>
      </c>
      <c r="D12" s="41" t="s">
        <v>42</v>
      </c>
      <c r="E12" s="41" t="s">
        <v>43</v>
      </c>
      <c r="F12" s="42" t="s">
        <v>33</v>
      </c>
      <c r="G12" s="42" t="s">
        <v>44</v>
      </c>
    </row>
    <row r="13" spans="1:7" x14ac:dyDescent="0.25">
      <c r="A13" s="8" t="s">
        <v>12</v>
      </c>
      <c r="B13" s="10">
        <v>599.48</v>
      </c>
      <c r="D13" s="13" t="s">
        <v>45</v>
      </c>
      <c r="E13" s="13" t="s">
        <v>46</v>
      </c>
      <c r="F13" s="50">
        <v>80497.75</v>
      </c>
      <c r="G13" s="51">
        <v>8.9200000000000002E-2</v>
      </c>
    </row>
    <row r="14" spans="1:7" ht="15.75" thickBot="1" x14ac:dyDescent="0.3">
      <c r="A14" s="22" t="s">
        <v>6</v>
      </c>
      <c r="B14" s="23">
        <v>486971.33</v>
      </c>
      <c r="D14" s="13" t="s">
        <v>47</v>
      </c>
      <c r="E14" s="13" t="s">
        <v>48</v>
      </c>
      <c r="F14" s="50">
        <v>14237.69</v>
      </c>
      <c r="G14" s="51">
        <v>0.51380000000000003</v>
      </c>
    </row>
    <row r="15" spans="1:7" x14ac:dyDescent="0.25">
      <c r="D15" s="13" t="s">
        <v>49</v>
      </c>
      <c r="E15" s="13" t="s">
        <v>50</v>
      </c>
      <c r="F15" s="50">
        <v>11566.16</v>
      </c>
      <c r="G15" s="51">
        <v>3.04E-2</v>
      </c>
    </row>
    <row r="16" spans="1:7" ht="15.75" x14ac:dyDescent="0.25">
      <c r="A16" s="1" t="s">
        <v>13</v>
      </c>
      <c r="B16" s="4"/>
      <c r="D16" s="13" t="s">
        <v>51</v>
      </c>
      <c r="E16" s="13" t="s">
        <v>52</v>
      </c>
      <c r="F16" s="50">
        <v>4540.2</v>
      </c>
      <c r="G16" s="51">
        <v>0.15210000000000001</v>
      </c>
    </row>
    <row r="17" spans="1:7" x14ac:dyDescent="0.25">
      <c r="A17" s="13" t="s">
        <v>14</v>
      </c>
      <c r="B17" s="15">
        <v>0.1076</v>
      </c>
      <c r="D17" s="12" t="s">
        <v>53</v>
      </c>
      <c r="E17" s="12" t="s">
        <v>54</v>
      </c>
      <c r="F17" s="52">
        <v>2567.86</v>
      </c>
      <c r="G17" s="53">
        <v>0.2737</v>
      </c>
    </row>
    <row r="18" spans="1:7" x14ac:dyDescent="0.25">
      <c r="A18" s="8" t="s">
        <v>15</v>
      </c>
      <c r="B18" s="16">
        <v>5.45E-2</v>
      </c>
    </row>
    <row r="19" spans="1:7" ht="15.75" x14ac:dyDescent="0.25">
      <c r="A19" s="8" t="s">
        <v>16</v>
      </c>
      <c r="B19" s="16">
        <v>5.3100000000000001E-2</v>
      </c>
      <c r="D19" s="1" t="s">
        <v>55</v>
      </c>
      <c r="E19" s="4"/>
      <c r="F19" s="4"/>
      <c r="G19" s="4"/>
    </row>
    <row r="20" spans="1:7" x14ac:dyDescent="0.25">
      <c r="A20" s="8" t="s">
        <v>17</v>
      </c>
      <c r="B20" s="17">
        <v>0.95553200000000005</v>
      </c>
      <c r="D20" s="41" t="s">
        <v>42</v>
      </c>
      <c r="E20" s="41" t="s">
        <v>43</v>
      </c>
      <c r="F20" s="42" t="s">
        <v>33</v>
      </c>
      <c r="G20" s="42" t="s">
        <v>44</v>
      </c>
    </row>
    <row r="21" spans="1:7" x14ac:dyDescent="0.25">
      <c r="A21" s="8" t="s">
        <v>18</v>
      </c>
      <c r="B21" s="17">
        <v>1.1E-4</v>
      </c>
      <c r="D21" s="13" t="s">
        <v>56</v>
      </c>
      <c r="E21" s="13" t="s">
        <v>57</v>
      </c>
      <c r="F21" s="54">
        <v>-6413.03</v>
      </c>
      <c r="G21" s="55">
        <v>-5.0099999999999999E-2</v>
      </c>
    </row>
    <row r="22" spans="1:7" x14ac:dyDescent="0.25">
      <c r="A22" s="8" t="s">
        <v>19</v>
      </c>
      <c r="B22" s="17">
        <v>1.4811E-2</v>
      </c>
      <c r="D22" s="13" t="s">
        <v>58</v>
      </c>
      <c r="E22" s="13" t="s">
        <v>59</v>
      </c>
      <c r="F22" s="54">
        <v>-4910.9799999999996</v>
      </c>
      <c r="G22" s="55">
        <v>-6.8500000000000005E-2</v>
      </c>
    </row>
    <row r="23" spans="1:7" ht="15.75" thickBot="1" x14ac:dyDescent="0.3">
      <c r="A23" s="20" t="s">
        <v>20</v>
      </c>
      <c r="B23" s="24">
        <v>0.86388100000000001</v>
      </c>
      <c r="D23" s="13" t="s">
        <v>60</v>
      </c>
      <c r="E23" s="13" t="s">
        <v>61</v>
      </c>
      <c r="F23" s="54">
        <v>-3427.85</v>
      </c>
      <c r="G23" s="55">
        <v>-7.2300000000000003E-2</v>
      </c>
    </row>
    <row r="24" spans="1:7" x14ac:dyDescent="0.25">
      <c r="D24" s="13" t="s">
        <v>62</v>
      </c>
      <c r="E24" s="13" t="s">
        <v>63</v>
      </c>
      <c r="F24" s="54">
        <v>-1982.55</v>
      </c>
      <c r="G24" s="55">
        <v>-7.5200000000000003E-2</v>
      </c>
    </row>
    <row r="25" spans="1:7" ht="15.75" x14ac:dyDescent="0.25">
      <c r="A25" s="1" t="s">
        <v>21</v>
      </c>
      <c r="B25" s="4"/>
      <c r="D25" s="12" t="s">
        <v>64</v>
      </c>
      <c r="E25" s="12" t="s">
        <v>65</v>
      </c>
      <c r="F25" s="56">
        <v>-1683.66</v>
      </c>
      <c r="G25" s="57">
        <v>-1.49E-2</v>
      </c>
    </row>
    <row r="26" spans="1:7" x14ac:dyDescent="0.25">
      <c r="A26" s="13" t="s">
        <v>3</v>
      </c>
      <c r="B26" s="18">
        <v>621339.01</v>
      </c>
    </row>
    <row r="27" spans="1:7" x14ac:dyDescent="0.25">
      <c r="A27" s="8" t="s">
        <v>22</v>
      </c>
      <c r="B27" s="9">
        <v>1719956.1</v>
      </c>
      <c r="D27" s="26" t="s">
        <v>31</v>
      </c>
      <c r="E27" s="26" t="s">
        <v>0</v>
      </c>
    </row>
    <row r="28" spans="1:7" x14ac:dyDescent="0.25">
      <c r="A28" s="8" t="s">
        <v>23</v>
      </c>
      <c r="B28" s="10">
        <v>0</v>
      </c>
      <c r="D28" t="s">
        <v>34</v>
      </c>
      <c r="E28">
        <f>F3</f>
        <v>238269.94</v>
      </c>
    </row>
    <row r="29" spans="1:7" x14ac:dyDescent="0.25">
      <c r="A29" s="8" t="s">
        <v>24</v>
      </c>
      <c r="B29" s="9">
        <v>6194.45</v>
      </c>
      <c r="D29" t="s">
        <v>35</v>
      </c>
      <c r="E29">
        <f>F4</f>
        <v>140640.64000000001</v>
      </c>
    </row>
    <row r="30" spans="1:7" x14ac:dyDescent="0.25">
      <c r="A30" s="8" t="s">
        <v>25</v>
      </c>
      <c r="B30" s="9">
        <v>0</v>
      </c>
      <c r="D30" t="s">
        <v>36</v>
      </c>
      <c r="E30">
        <f>F5</f>
        <v>3124.58</v>
      </c>
    </row>
    <row r="31" spans="1:7" x14ac:dyDescent="0.25">
      <c r="A31" s="8" t="s">
        <v>26</v>
      </c>
      <c r="B31" s="9">
        <v>63166.22</v>
      </c>
      <c r="D31" t="s">
        <v>37</v>
      </c>
      <c r="E31">
        <f>F6</f>
        <v>45213.02</v>
      </c>
    </row>
    <row r="32" spans="1:7" x14ac:dyDescent="0.25">
      <c r="A32" s="8" t="s">
        <v>27</v>
      </c>
      <c r="B32" s="9">
        <v>0</v>
      </c>
      <c r="D32" t="s">
        <v>38</v>
      </c>
      <c r="E32">
        <f>F7</f>
        <v>2137255.87</v>
      </c>
    </row>
    <row r="33" spans="1:5" x14ac:dyDescent="0.25">
      <c r="A33" s="8" t="s">
        <v>28</v>
      </c>
      <c r="B33" s="19">
        <v>690</v>
      </c>
      <c r="D33" t="s">
        <v>39</v>
      </c>
      <c r="E33">
        <f>F8</f>
        <v>58171.31</v>
      </c>
    </row>
    <row r="34" spans="1:5" ht="15.75" thickBot="1" x14ac:dyDescent="0.3">
      <c r="A34" s="20" t="s">
        <v>29</v>
      </c>
      <c r="B34" s="25">
        <v>158.56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0476-2F64-4F5B-B28C-D1F01ACE56EE}">
  <dimension ref="A1:K47"/>
  <sheetViews>
    <sheetView workbookViewId="0"/>
  </sheetViews>
  <sheetFormatPr defaultRowHeight="15" x14ac:dyDescent="0.25"/>
  <cols>
    <col min="1" max="1" width="10.7109375" bestFit="1" customWidth="1"/>
    <col min="2" max="2" width="21.5703125" bestFit="1" customWidth="1"/>
    <col min="3" max="3" width="35.42578125" bestFit="1" customWidth="1"/>
    <col min="4" max="4" width="9" bestFit="1" customWidth="1"/>
    <col min="5" max="5" width="9.28515625" bestFit="1" customWidth="1"/>
    <col min="6" max="6" width="9.7109375" bestFit="1" customWidth="1"/>
    <col min="7" max="7" width="9.85546875" bestFit="1" customWidth="1"/>
    <col min="8" max="9" width="11.7109375" bestFit="1" customWidth="1"/>
    <col min="10" max="10" width="12.5703125" bestFit="1" customWidth="1"/>
  </cols>
  <sheetData>
    <row r="1" spans="1:11" x14ac:dyDescent="0.25">
      <c r="A1" s="27" t="s">
        <v>31</v>
      </c>
      <c r="B1" s="27" t="s">
        <v>42</v>
      </c>
      <c r="C1" s="27" t="s">
        <v>43</v>
      </c>
      <c r="D1" s="27" t="s">
        <v>66</v>
      </c>
      <c r="E1" s="27" t="s">
        <v>67</v>
      </c>
      <c r="F1" s="27" t="s">
        <v>68</v>
      </c>
      <c r="G1" s="27" t="s">
        <v>69</v>
      </c>
      <c r="H1" s="27" t="s">
        <v>70</v>
      </c>
      <c r="I1" s="27" t="s">
        <v>33</v>
      </c>
      <c r="J1" s="27" t="s">
        <v>0</v>
      </c>
      <c r="K1" s="27" t="s">
        <v>44</v>
      </c>
    </row>
    <row r="2" spans="1:11" x14ac:dyDescent="0.25">
      <c r="A2" s="39" t="s">
        <v>71</v>
      </c>
      <c r="B2" t="s">
        <v>47</v>
      </c>
      <c r="C2" t="s">
        <v>72</v>
      </c>
      <c r="D2">
        <v>50</v>
      </c>
      <c r="E2" t="s">
        <v>73</v>
      </c>
      <c r="F2" s="28">
        <v>1108.78</v>
      </c>
      <c r="G2" s="28">
        <v>732.47</v>
      </c>
      <c r="H2">
        <v>0</v>
      </c>
      <c r="I2" s="32">
        <v>14237.69</v>
      </c>
      <c r="J2" s="3">
        <v>41950.69</v>
      </c>
      <c r="K2" s="5">
        <v>0.51380000000000003</v>
      </c>
    </row>
    <row r="3" spans="1:11" x14ac:dyDescent="0.25">
      <c r="A3" s="40" t="s">
        <v>71</v>
      </c>
      <c r="B3" s="29" t="s">
        <v>62</v>
      </c>
      <c r="C3" s="29" t="s">
        <v>74</v>
      </c>
      <c r="D3" s="29">
        <v>200</v>
      </c>
      <c r="E3" s="29" t="s">
        <v>73</v>
      </c>
      <c r="F3" s="30">
        <v>161.13</v>
      </c>
      <c r="G3" s="30">
        <v>174.23</v>
      </c>
      <c r="H3" s="29">
        <v>0</v>
      </c>
      <c r="I3" s="33">
        <v>-1982.55</v>
      </c>
      <c r="J3" s="31">
        <v>24385.41</v>
      </c>
      <c r="K3" s="34">
        <v>-7.5200000000000003E-2</v>
      </c>
    </row>
    <row r="4" spans="1:11" x14ac:dyDescent="0.25">
      <c r="A4" s="39" t="s">
        <v>71</v>
      </c>
      <c r="B4" t="s">
        <v>75</v>
      </c>
      <c r="C4" t="s">
        <v>76</v>
      </c>
      <c r="D4">
        <v>100</v>
      </c>
      <c r="E4" t="s">
        <v>73</v>
      </c>
      <c r="F4" s="28">
        <v>292.08999999999997</v>
      </c>
      <c r="G4" s="28">
        <v>276.49</v>
      </c>
      <c r="H4">
        <v>0</v>
      </c>
      <c r="I4" s="32">
        <v>1180.45</v>
      </c>
      <c r="J4" s="3">
        <v>22102.45</v>
      </c>
      <c r="K4" s="5">
        <v>5.6399999999999999E-2</v>
      </c>
    </row>
    <row r="5" spans="1:11" x14ac:dyDescent="0.25">
      <c r="A5" s="40" t="s">
        <v>71</v>
      </c>
      <c r="B5" s="29" t="s">
        <v>77</v>
      </c>
      <c r="C5" s="29" t="s">
        <v>78</v>
      </c>
      <c r="D5" s="29">
        <v>100</v>
      </c>
      <c r="E5" s="29" t="s">
        <v>73</v>
      </c>
      <c r="F5" s="30">
        <v>241.72</v>
      </c>
      <c r="G5" s="30">
        <v>252.3</v>
      </c>
      <c r="H5" s="29">
        <v>0</v>
      </c>
      <c r="I5" s="33">
        <v>-800.59</v>
      </c>
      <c r="J5" s="31">
        <v>18290.95</v>
      </c>
      <c r="K5" s="34">
        <v>-4.19E-2</v>
      </c>
    </row>
    <row r="6" spans="1:11" x14ac:dyDescent="0.25">
      <c r="A6" s="39" t="s">
        <v>71</v>
      </c>
      <c r="B6" t="s">
        <v>79</v>
      </c>
      <c r="C6" t="s">
        <v>80</v>
      </c>
      <c r="D6">
        <v>2700</v>
      </c>
      <c r="E6" t="s">
        <v>81</v>
      </c>
      <c r="F6" s="28">
        <v>161.94999999999999</v>
      </c>
      <c r="G6" s="28">
        <v>158.68</v>
      </c>
      <c r="H6">
        <v>0</v>
      </c>
      <c r="I6" s="32">
        <v>365.52</v>
      </c>
      <c r="J6" s="3">
        <v>18102.77</v>
      </c>
      <c r="K6" s="5">
        <v>2.06E-2</v>
      </c>
    </row>
    <row r="7" spans="1:11" x14ac:dyDescent="0.25">
      <c r="A7" s="40" t="s">
        <v>71</v>
      </c>
      <c r="B7" s="29" t="s">
        <v>82</v>
      </c>
      <c r="C7" s="29" t="s">
        <v>83</v>
      </c>
      <c r="D7" s="29">
        <v>300</v>
      </c>
      <c r="E7" s="29" t="s">
        <v>84</v>
      </c>
      <c r="F7" s="30">
        <v>54.17</v>
      </c>
      <c r="G7" s="30">
        <v>54.24</v>
      </c>
      <c r="H7" s="29">
        <v>0</v>
      </c>
      <c r="I7" s="33">
        <v>-21</v>
      </c>
      <c r="J7" s="31">
        <v>16251</v>
      </c>
      <c r="K7" s="34">
        <v>-1.2999999999999999E-3</v>
      </c>
    </row>
    <row r="8" spans="1:11" x14ac:dyDescent="0.25">
      <c r="A8" s="39" t="s">
        <v>71</v>
      </c>
      <c r="B8" t="s">
        <v>85</v>
      </c>
      <c r="C8" t="s">
        <v>86</v>
      </c>
      <c r="D8">
        <v>100</v>
      </c>
      <c r="E8" t="s">
        <v>73</v>
      </c>
      <c r="F8" s="28">
        <v>196.99</v>
      </c>
      <c r="G8" s="28">
        <v>197.9</v>
      </c>
      <c r="H8">
        <v>0</v>
      </c>
      <c r="I8" s="35">
        <v>-68.86</v>
      </c>
      <c r="J8" s="3">
        <v>14906.23</v>
      </c>
      <c r="K8" s="36">
        <v>-4.5999999999999999E-3</v>
      </c>
    </row>
    <row r="9" spans="1:11" x14ac:dyDescent="0.25">
      <c r="A9" s="40" t="s">
        <v>71</v>
      </c>
      <c r="B9" s="29" t="s">
        <v>87</v>
      </c>
      <c r="C9" s="29" t="s">
        <v>88</v>
      </c>
      <c r="D9" s="29">
        <v>100</v>
      </c>
      <c r="E9" s="29" t="s">
        <v>73</v>
      </c>
      <c r="F9" s="30">
        <v>181.46</v>
      </c>
      <c r="G9" s="30">
        <v>182.99</v>
      </c>
      <c r="H9" s="29">
        <v>0</v>
      </c>
      <c r="I9" s="33">
        <v>-115.78</v>
      </c>
      <c r="J9" s="31">
        <v>13731.08</v>
      </c>
      <c r="K9" s="34">
        <v>-8.3999999999999995E-3</v>
      </c>
    </row>
    <row r="10" spans="1:11" x14ac:dyDescent="0.25">
      <c r="A10" s="39" t="s">
        <v>71</v>
      </c>
      <c r="B10" t="s">
        <v>53</v>
      </c>
      <c r="C10" t="s">
        <v>54</v>
      </c>
      <c r="D10">
        <v>50</v>
      </c>
      <c r="E10" t="s">
        <v>73</v>
      </c>
      <c r="F10" s="28">
        <v>315.81</v>
      </c>
      <c r="G10" s="28">
        <v>247.94</v>
      </c>
      <c r="H10">
        <v>0</v>
      </c>
      <c r="I10" s="32">
        <v>2567.86</v>
      </c>
      <c r="J10" s="3">
        <v>11948.67</v>
      </c>
      <c r="K10" s="5">
        <v>0.2737</v>
      </c>
    </row>
    <row r="11" spans="1:11" x14ac:dyDescent="0.25">
      <c r="A11" s="40" t="s">
        <v>71</v>
      </c>
      <c r="B11" s="29" t="s">
        <v>89</v>
      </c>
      <c r="C11" s="29" t="s">
        <v>90</v>
      </c>
      <c r="D11" s="29">
        <v>100</v>
      </c>
      <c r="E11" s="29" t="s">
        <v>73</v>
      </c>
      <c r="F11" s="30">
        <v>147.99</v>
      </c>
      <c r="G11" s="30">
        <v>122.56</v>
      </c>
      <c r="H11" s="29">
        <v>0</v>
      </c>
      <c r="I11" s="37">
        <v>1924.29</v>
      </c>
      <c r="J11" s="31">
        <v>11198.4</v>
      </c>
      <c r="K11" s="38">
        <v>0.20749999999999999</v>
      </c>
    </row>
    <row r="12" spans="1:11" x14ac:dyDescent="0.25">
      <c r="A12" s="39" t="s">
        <v>71</v>
      </c>
      <c r="B12" t="s">
        <v>91</v>
      </c>
      <c r="C12" t="s">
        <v>92</v>
      </c>
      <c r="D12">
        <v>100</v>
      </c>
      <c r="E12" t="s">
        <v>93</v>
      </c>
      <c r="F12" s="28">
        <v>175.78</v>
      </c>
      <c r="G12" s="28">
        <v>180.87</v>
      </c>
      <c r="H12">
        <v>0</v>
      </c>
      <c r="I12" s="35">
        <v>-275.62</v>
      </c>
      <c r="J12" s="3">
        <v>9518.49</v>
      </c>
      <c r="K12" s="36">
        <v>-2.81E-2</v>
      </c>
    </row>
    <row r="13" spans="1:11" x14ac:dyDescent="0.25">
      <c r="A13" s="40" t="s">
        <v>71</v>
      </c>
      <c r="B13" s="29" t="s">
        <v>94</v>
      </c>
      <c r="C13" s="29" t="s">
        <v>95</v>
      </c>
      <c r="D13" s="29">
        <v>100</v>
      </c>
      <c r="E13" s="29" t="s">
        <v>96</v>
      </c>
      <c r="F13" s="30">
        <v>79</v>
      </c>
      <c r="G13" s="30">
        <v>71.14</v>
      </c>
      <c r="H13" s="29">
        <v>0</v>
      </c>
      <c r="I13" s="37">
        <v>740.73</v>
      </c>
      <c r="J13" s="31">
        <v>7444.96</v>
      </c>
      <c r="K13" s="38">
        <v>0.1105</v>
      </c>
    </row>
    <row r="14" spans="1:11" x14ac:dyDescent="0.25">
      <c r="A14" s="39" t="s">
        <v>71</v>
      </c>
      <c r="B14" t="s">
        <v>97</v>
      </c>
      <c r="C14" t="s">
        <v>98</v>
      </c>
      <c r="D14">
        <v>400</v>
      </c>
      <c r="E14" t="s">
        <v>84</v>
      </c>
      <c r="F14" s="28">
        <v>17.245000000000001</v>
      </c>
      <c r="G14" s="28">
        <v>18.145</v>
      </c>
      <c r="H14">
        <v>0</v>
      </c>
      <c r="I14" s="35">
        <v>-360</v>
      </c>
      <c r="J14" s="3">
        <v>6898</v>
      </c>
      <c r="K14" s="36">
        <v>-4.9599999999999998E-2</v>
      </c>
    </row>
    <row r="15" spans="1:11" x14ac:dyDescent="0.25">
      <c r="A15" s="40" t="s">
        <v>71</v>
      </c>
      <c r="B15" s="29" t="s">
        <v>99</v>
      </c>
      <c r="C15" s="29" t="s">
        <v>100</v>
      </c>
      <c r="D15" s="29">
        <v>100</v>
      </c>
      <c r="E15" s="29" t="s">
        <v>93</v>
      </c>
      <c r="F15" s="30">
        <v>121.06</v>
      </c>
      <c r="G15" s="30">
        <v>111.5</v>
      </c>
      <c r="H15" s="29">
        <v>0</v>
      </c>
      <c r="I15" s="37">
        <v>517.66999999999996</v>
      </c>
      <c r="J15" s="31">
        <v>6555.4</v>
      </c>
      <c r="K15" s="38">
        <v>8.5699999999999998E-2</v>
      </c>
    </row>
    <row r="16" spans="1:11" x14ac:dyDescent="0.25">
      <c r="A16" s="39" t="s">
        <v>71</v>
      </c>
      <c r="B16">
        <v>6988</v>
      </c>
      <c r="C16" t="s">
        <v>101</v>
      </c>
      <c r="D16">
        <v>300</v>
      </c>
      <c r="E16" t="s">
        <v>102</v>
      </c>
      <c r="F16" s="28">
        <v>3752</v>
      </c>
      <c r="G16" s="28">
        <v>3517</v>
      </c>
      <c r="H16">
        <v>0</v>
      </c>
      <c r="I16" s="32">
        <v>345.45</v>
      </c>
      <c r="J16" s="3">
        <v>5515.44</v>
      </c>
      <c r="K16" s="5">
        <v>6.6799999999999998E-2</v>
      </c>
    </row>
    <row r="17" spans="1:11" x14ac:dyDescent="0.25">
      <c r="A17" s="40" t="s">
        <v>71</v>
      </c>
      <c r="B17" s="29" t="s">
        <v>103</v>
      </c>
      <c r="C17" s="29" t="s">
        <v>104</v>
      </c>
      <c r="D17" s="29">
        <v>100</v>
      </c>
      <c r="E17" s="29" t="s">
        <v>105</v>
      </c>
      <c r="F17" s="30">
        <v>56.52</v>
      </c>
      <c r="G17" s="30">
        <v>53.05</v>
      </c>
      <c r="H17" s="29">
        <v>0</v>
      </c>
      <c r="I17" s="37">
        <v>305.26</v>
      </c>
      <c r="J17" s="31">
        <v>4972.0600000000004</v>
      </c>
      <c r="K17" s="38">
        <v>6.54E-2</v>
      </c>
    </row>
    <row r="18" spans="1:11" x14ac:dyDescent="0.25">
      <c r="A18" s="39" t="s">
        <v>71</v>
      </c>
      <c r="B18">
        <v>6758</v>
      </c>
      <c r="C18" t="s">
        <v>106</v>
      </c>
      <c r="D18">
        <v>100</v>
      </c>
      <c r="E18" t="s">
        <v>102</v>
      </c>
      <c r="F18" s="28">
        <v>4442</v>
      </c>
      <c r="G18" s="28">
        <v>4259</v>
      </c>
      <c r="H18">
        <v>0</v>
      </c>
      <c r="I18" s="32">
        <v>89.67</v>
      </c>
      <c r="J18" s="3">
        <v>2176.58</v>
      </c>
      <c r="K18" s="5">
        <v>4.2999999999999997E-2</v>
      </c>
    </row>
    <row r="19" spans="1:11" x14ac:dyDescent="0.25">
      <c r="A19" s="40" t="s">
        <v>71</v>
      </c>
      <c r="B19" s="29" t="s">
        <v>107</v>
      </c>
      <c r="C19" s="29" t="s">
        <v>108</v>
      </c>
      <c r="D19" s="29">
        <v>100</v>
      </c>
      <c r="E19" s="29" t="s">
        <v>81</v>
      </c>
      <c r="F19" s="30">
        <v>398.76</v>
      </c>
      <c r="G19" s="30">
        <v>350.11</v>
      </c>
      <c r="H19" s="29">
        <v>0</v>
      </c>
      <c r="I19" s="37">
        <v>201.41</v>
      </c>
      <c r="J19" s="31">
        <v>1650.87</v>
      </c>
      <c r="K19" s="38">
        <v>0.13900000000000001</v>
      </c>
    </row>
    <row r="20" spans="1:11" x14ac:dyDescent="0.25">
      <c r="A20" s="39" t="s">
        <v>71</v>
      </c>
      <c r="B20" t="s">
        <v>109</v>
      </c>
      <c r="C20" t="s">
        <v>110</v>
      </c>
      <c r="D20">
        <v>100</v>
      </c>
      <c r="E20" t="s">
        <v>81</v>
      </c>
      <c r="F20" s="28">
        <v>161.94999999999999</v>
      </c>
      <c r="G20" s="28">
        <v>147.9</v>
      </c>
      <c r="H20">
        <v>0</v>
      </c>
      <c r="I20" s="32">
        <v>58.17</v>
      </c>
      <c r="J20" s="3">
        <v>670.47</v>
      </c>
      <c r="K20" s="5">
        <v>9.5000000000000001E-2</v>
      </c>
    </row>
    <row r="21" spans="1:11" x14ac:dyDescent="0.25">
      <c r="A21" s="40" t="s">
        <v>111</v>
      </c>
      <c r="B21" s="29" t="s">
        <v>112</v>
      </c>
      <c r="C21" s="29" t="s">
        <v>113</v>
      </c>
      <c r="D21" s="29">
        <v>1600</v>
      </c>
      <c r="E21" s="29" t="s">
        <v>73</v>
      </c>
      <c r="F21" s="30">
        <v>74.77</v>
      </c>
      <c r="G21" s="30">
        <v>75.319999999999993</v>
      </c>
      <c r="H21" s="29">
        <v>0</v>
      </c>
      <c r="I21" s="33">
        <v>-665.9</v>
      </c>
      <c r="J21" s="31">
        <v>90525.53</v>
      </c>
      <c r="K21" s="34">
        <v>-7.3000000000000001E-3</v>
      </c>
    </row>
    <row r="22" spans="1:11" x14ac:dyDescent="0.25">
      <c r="A22" s="39" t="s">
        <v>111</v>
      </c>
      <c r="B22" t="s">
        <v>114</v>
      </c>
      <c r="C22" t="s">
        <v>115</v>
      </c>
      <c r="D22">
        <v>50</v>
      </c>
      <c r="E22" t="s">
        <v>73</v>
      </c>
      <c r="F22" s="28">
        <v>681.53</v>
      </c>
      <c r="G22" s="28">
        <v>664.35</v>
      </c>
      <c r="H22">
        <v>0</v>
      </c>
      <c r="I22" s="32">
        <v>650.01</v>
      </c>
      <c r="J22" s="3">
        <v>25785.69</v>
      </c>
      <c r="K22" s="5">
        <v>2.5899999999999999E-2</v>
      </c>
    </row>
    <row r="23" spans="1:11" x14ac:dyDescent="0.25">
      <c r="A23" s="40" t="s">
        <v>111</v>
      </c>
      <c r="B23" s="29" t="s">
        <v>116</v>
      </c>
      <c r="C23" s="29" t="s">
        <v>117</v>
      </c>
      <c r="D23" s="29">
        <v>800</v>
      </c>
      <c r="E23" s="29" t="s">
        <v>73</v>
      </c>
      <c r="F23" s="30">
        <v>40.19</v>
      </c>
      <c r="G23" s="30">
        <v>39.72</v>
      </c>
      <c r="H23" s="29">
        <v>0</v>
      </c>
      <c r="I23" s="37">
        <v>284.52</v>
      </c>
      <c r="J23" s="31">
        <v>24329.42</v>
      </c>
      <c r="K23" s="38">
        <v>1.18E-2</v>
      </c>
    </row>
    <row r="24" spans="1:11" x14ac:dyDescent="0.25">
      <c r="A24" s="39" t="s">
        <v>118</v>
      </c>
      <c r="B24" t="s">
        <v>119</v>
      </c>
      <c r="C24" t="s">
        <v>120</v>
      </c>
      <c r="D24">
        <v>37.5657</v>
      </c>
      <c r="E24" t="s">
        <v>73</v>
      </c>
      <c r="F24" s="28">
        <v>27.65</v>
      </c>
      <c r="G24" s="28">
        <v>26.62</v>
      </c>
      <c r="H24">
        <v>0</v>
      </c>
      <c r="I24" s="32">
        <v>29.28</v>
      </c>
      <c r="J24" s="3">
        <v>785.98</v>
      </c>
      <c r="K24" s="5">
        <v>3.8699999999999998E-2</v>
      </c>
    </row>
    <row r="25" spans="1:11" x14ac:dyDescent="0.25">
      <c r="A25" s="40" t="s">
        <v>118</v>
      </c>
      <c r="B25" s="29" t="s">
        <v>121</v>
      </c>
      <c r="C25" s="29" t="s">
        <v>122</v>
      </c>
      <c r="D25" s="29">
        <v>4.3105000000000002</v>
      </c>
      <c r="E25" s="29" t="s">
        <v>73</v>
      </c>
      <c r="F25" s="30">
        <v>237.65</v>
      </c>
      <c r="G25" s="30">
        <v>231.99</v>
      </c>
      <c r="H25" s="29">
        <v>0</v>
      </c>
      <c r="I25" s="37">
        <v>18.46</v>
      </c>
      <c r="J25" s="31">
        <v>775.16</v>
      </c>
      <c r="K25" s="38">
        <v>2.4400000000000002E-2</v>
      </c>
    </row>
    <row r="26" spans="1:11" x14ac:dyDescent="0.25">
      <c r="A26" s="39" t="s">
        <v>118</v>
      </c>
      <c r="B26" t="s">
        <v>123</v>
      </c>
      <c r="C26" t="s">
        <v>124</v>
      </c>
      <c r="D26">
        <v>102.2495</v>
      </c>
      <c r="E26" t="s">
        <v>73</v>
      </c>
      <c r="F26" s="28">
        <v>9.7899999999999991</v>
      </c>
      <c r="G26" s="28">
        <v>9.7799999999999994</v>
      </c>
      <c r="H26">
        <v>0</v>
      </c>
      <c r="I26" s="32">
        <v>0.77</v>
      </c>
      <c r="J26" s="3">
        <v>757.47</v>
      </c>
      <c r="K26" s="5">
        <v>1E-3</v>
      </c>
    </row>
    <row r="27" spans="1:11" x14ac:dyDescent="0.25">
      <c r="A27" s="40" t="s">
        <v>118</v>
      </c>
      <c r="B27" s="29" t="s">
        <v>125</v>
      </c>
      <c r="C27" s="29" t="s">
        <v>126</v>
      </c>
      <c r="D27" s="29">
        <v>43.177900000000001</v>
      </c>
      <c r="E27" s="29" t="s">
        <v>73</v>
      </c>
      <c r="F27" s="30">
        <v>22.29</v>
      </c>
      <c r="G27" s="30">
        <v>23.16</v>
      </c>
      <c r="H27" s="29">
        <v>0</v>
      </c>
      <c r="I27" s="33">
        <v>-28.43</v>
      </c>
      <c r="J27" s="31">
        <v>728.27</v>
      </c>
      <c r="K27" s="34">
        <v>-3.7600000000000001E-2</v>
      </c>
    </row>
    <row r="28" spans="1:11" x14ac:dyDescent="0.25">
      <c r="A28" s="39" t="s">
        <v>118</v>
      </c>
      <c r="B28" t="s">
        <v>127</v>
      </c>
      <c r="C28" t="s">
        <v>128</v>
      </c>
      <c r="D28">
        <v>0.16259999999999999</v>
      </c>
      <c r="E28" t="s">
        <v>73</v>
      </c>
      <c r="F28" s="28">
        <v>631.51</v>
      </c>
      <c r="G28" s="28">
        <v>614.82000000000005</v>
      </c>
      <c r="H28">
        <v>0</v>
      </c>
      <c r="I28" s="32">
        <v>2.0499999999999998</v>
      </c>
      <c r="J28" s="3">
        <v>77.7</v>
      </c>
      <c r="K28" s="5">
        <v>2.7099999999999999E-2</v>
      </c>
    </row>
    <row r="29" spans="1:11" x14ac:dyDescent="0.25">
      <c r="A29" s="40" t="s">
        <v>129</v>
      </c>
      <c r="B29" s="29" t="s">
        <v>130</v>
      </c>
      <c r="C29" s="29" t="s">
        <v>131</v>
      </c>
      <c r="D29" s="29">
        <v>10</v>
      </c>
      <c r="E29" s="29" t="s">
        <v>73</v>
      </c>
      <c r="F29" s="30">
        <v>1291.6500000000001</v>
      </c>
      <c r="G29" s="30">
        <v>1279.2</v>
      </c>
      <c r="H29" s="29">
        <v>0</v>
      </c>
      <c r="I29" s="37">
        <v>94.21</v>
      </c>
      <c r="J29" s="31">
        <v>9773.92</v>
      </c>
      <c r="K29" s="38">
        <v>9.7000000000000003E-3</v>
      </c>
    </row>
    <row r="30" spans="1:11" x14ac:dyDescent="0.25">
      <c r="A30" s="39" t="s">
        <v>129</v>
      </c>
      <c r="B30" t="s">
        <v>132</v>
      </c>
      <c r="C30" t="s">
        <v>133</v>
      </c>
      <c r="D30">
        <v>10</v>
      </c>
      <c r="E30" t="s">
        <v>73</v>
      </c>
      <c r="F30" s="28">
        <v>1047.5999999999999</v>
      </c>
      <c r="G30" s="28">
        <v>1044.1300000000001</v>
      </c>
      <c r="H30">
        <v>0</v>
      </c>
      <c r="I30" s="32">
        <v>26.25</v>
      </c>
      <c r="J30" s="3">
        <v>7927.17</v>
      </c>
      <c r="K30" s="5">
        <v>3.3E-3</v>
      </c>
    </row>
    <row r="31" spans="1:11" x14ac:dyDescent="0.25">
      <c r="A31" s="40" t="s">
        <v>129</v>
      </c>
      <c r="B31" s="29" t="s">
        <v>134</v>
      </c>
      <c r="C31" s="29" t="s">
        <v>135</v>
      </c>
      <c r="D31" s="29">
        <v>10</v>
      </c>
      <c r="E31" s="29" t="s">
        <v>73</v>
      </c>
      <c r="F31" s="30">
        <v>998.84</v>
      </c>
      <c r="G31" s="30">
        <v>996.34</v>
      </c>
      <c r="H31" s="29">
        <v>0</v>
      </c>
      <c r="I31" s="37">
        <v>18.920000000000002</v>
      </c>
      <c r="J31" s="31">
        <v>7558.22</v>
      </c>
      <c r="K31" s="38">
        <v>2.5000000000000001E-3</v>
      </c>
    </row>
    <row r="32" spans="1:11" x14ac:dyDescent="0.25">
      <c r="A32" s="39" t="s">
        <v>129</v>
      </c>
      <c r="B32" t="s">
        <v>136</v>
      </c>
      <c r="C32" t="s">
        <v>137</v>
      </c>
      <c r="D32">
        <v>10</v>
      </c>
      <c r="E32" t="s">
        <v>73</v>
      </c>
      <c r="F32" s="28">
        <v>979.04</v>
      </c>
      <c r="G32" s="28">
        <v>974.31</v>
      </c>
      <c r="H32">
        <v>0</v>
      </c>
      <c r="I32" s="32">
        <v>35.78</v>
      </c>
      <c r="J32" s="3">
        <v>7408.37</v>
      </c>
      <c r="K32" s="5">
        <v>4.8999999999999998E-3</v>
      </c>
    </row>
    <row r="33" spans="1:11" x14ac:dyDescent="0.25">
      <c r="A33" s="40" t="s">
        <v>129</v>
      </c>
      <c r="B33" s="29" t="s">
        <v>138</v>
      </c>
      <c r="C33" s="29" t="s">
        <v>139</v>
      </c>
      <c r="D33" s="29">
        <v>10</v>
      </c>
      <c r="E33" s="29" t="s">
        <v>73</v>
      </c>
      <c r="F33" s="30">
        <v>940.34</v>
      </c>
      <c r="G33" s="30">
        <v>933.08</v>
      </c>
      <c r="H33" s="29">
        <v>0</v>
      </c>
      <c r="I33" s="37">
        <v>54.94</v>
      </c>
      <c r="J33" s="31">
        <v>7115.55</v>
      </c>
      <c r="K33" s="38">
        <v>7.7999999999999996E-3</v>
      </c>
    </row>
    <row r="34" spans="1:11" x14ac:dyDescent="0.25">
      <c r="A34" s="39" t="s">
        <v>129</v>
      </c>
      <c r="B34" t="s">
        <v>140</v>
      </c>
      <c r="C34" t="s">
        <v>141</v>
      </c>
      <c r="D34">
        <v>10</v>
      </c>
      <c r="E34" t="s">
        <v>73</v>
      </c>
      <c r="F34" s="28">
        <v>717.56</v>
      </c>
      <c r="G34" s="28">
        <v>703.85</v>
      </c>
      <c r="H34">
        <v>0</v>
      </c>
      <c r="I34" s="32">
        <v>103.78</v>
      </c>
      <c r="J34" s="3">
        <v>5429.79</v>
      </c>
      <c r="K34" s="5">
        <v>1.95E-2</v>
      </c>
    </row>
    <row r="35" spans="1:11" x14ac:dyDescent="0.25">
      <c r="A35" s="40" t="s">
        <v>142</v>
      </c>
      <c r="B35" s="29" t="s">
        <v>45</v>
      </c>
      <c r="C35" s="29" t="s">
        <v>46</v>
      </c>
      <c r="D35" s="29">
        <v>3</v>
      </c>
      <c r="E35" s="29" t="s">
        <v>73</v>
      </c>
      <c r="F35" s="30">
        <v>4331.5</v>
      </c>
      <c r="G35" s="30">
        <v>3976.9</v>
      </c>
      <c r="H35" s="29">
        <v>0</v>
      </c>
      <c r="I35" s="37">
        <v>80497.75</v>
      </c>
      <c r="J35" s="31">
        <v>983293.82</v>
      </c>
      <c r="K35" s="38">
        <v>8.9200000000000002E-2</v>
      </c>
    </row>
    <row r="36" spans="1:11" x14ac:dyDescent="0.25">
      <c r="A36" s="39" t="s">
        <v>142</v>
      </c>
      <c r="B36" t="s">
        <v>49</v>
      </c>
      <c r="C36" t="s">
        <v>50</v>
      </c>
      <c r="D36">
        <v>1</v>
      </c>
      <c r="E36" t="s">
        <v>73</v>
      </c>
      <c r="F36" s="28">
        <v>25872</v>
      </c>
      <c r="G36" s="28">
        <v>25107.75</v>
      </c>
      <c r="H36">
        <v>0</v>
      </c>
      <c r="I36" s="32">
        <v>11566.16</v>
      </c>
      <c r="J36" s="3">
        <v>391546.85</v>
      </c>
      <c r="K36" s="5">
        <v>3.04E-2</v>
      </c>
    </row>
    <row r="37" spans="1:11" x14ac:dyDescent="0.25">
      <c r="A37" s="40" t="s">
        <v>142</v>
      </c>
      <c r="B37" s="29" t="s">
        <v>143</v>
      </c>
      <c r="C37" s="29" t="s">
        <v>144</v>
      </c>
      <c r="D37" s="29">
        <v>1</v>
      </c>
      <c r="E37" s="29" t="s">
        <v>73</v>
      </c>
      <c r="F37" s="30">
        <v>104.38</v>
      </c>
      <c r="G37" s="30">
        <v>104.25</v>
      </c>
      <c r="H37" s="29">
        <v>0</v>
      </c>
      <c r="I37" s="37">
        <v>195.08</v>
      </c>
      <c r="J37" s="31">
        <v>157967.03</v>
      </c>
      <c r="K37" s="38">
        <v>1.1999999999999999E-3</v>
      </c>
    </row>
    <row r="38" spans="1:11" x14ac:dyDescent="0.25">
      <c r="A38" s="39" t="s">
        <v>142</v>
      </c>
      <c r="B38" t="s">
        <v>56</v>
      </c>
      <c r="C38" t="s">
        <v>145</v>
      </c>
      <c r="D38">
        <v>1</v>
      </c>
      <c r="E38" t="s">
        <v>73</v>
      </c>
      <c r="F38" s="28">
        <v>321.25</v>
      </c>
      <c r="G38" s="28">
        <v>338.2</v>
      </c>
      <c r="H38">
        <v>0</v>
      </c>
      <c r="I38" s="35">
        <v>-6413.03</v>
      </c>
      <c r="J38" s="3">
        <v>121544.94</v>
      </c>
      <c r="K38" s="36">
        <v>-5.0099999999999999E-2</v>
      </c>
    </row>
    <row r="39" spans="1:11" x14ac:dyDescent="0.25">
      <c r="A39" s="40" t="s">
        <v>142</v>
      </c>
      <c r="B39" s="29" t="s">
        <v>64</v>
      </c>
      <c r="C39" s="29" t="s">
        <v>65</v>
      </c>
      <c r="D39" s="29">
        <v>1</v>
      </c>
      <c r="E39" s="29" t="s">
        <v>73</v>
      </c>
      <c r="F39" s="30">
        <v>1.177</v>
      </c>
      <c r="G39" s="30">
        <v>1.1948000000000001</v>
      </c>
      <c r="H39" s="29">
        <v>0</v>
      </c>
      <c r="I39" s="33">
        <v>-1683.66</v>
      </c>
      <c r="J39" s="31">
        <v>111329.49</v>
      </c>
      <c r="K39" s="34">
        <v>-1.49E-2</v>
      </c>
    </row>
    <row r="40" spans="1:11" x14ac:dyDescent="0.25">
      <c r="A40" s="39" t="s">
        <v>142</v>
      </c>
      <c r="B40" t="s">
        <v>146</v>
      </c>
      <c r="C40" t="s">
        <v>147</v>
      </c>
      <c r="D40">
        <v>1</v>
      </c>
      <c r="E40" t="s">
        <v>73</v>
      </c>
      <c r="F40" s="28">
        <v>2490.8000000000002</v>
      </c>
      <c r="G40" s="28">
        <v>2486.5</v>
      </c>
      <c r="H40">
        <v>0</v>
      </c>
      <c r="I40" s="32">
        <v>162.69</v>
      </c>
      <c r="J40" s="3">
        <v>94239.42</v>
      </c>
      <c r="K40" s="5">
        <v>1.6999999999999999E-3</v>
      </c>
    </row>
    <row r="41" spans="1:11" x14ac:dyDescent="0.25">
      <c r="A41" s="40" t="s">
        <v>142</v>
      </c>
      <c r="B41" s="29" t="s">
        <v>148</v>
      </c>
      <c r="C41" s="29" t="s">
        <v>149</v>
      </c>
      <c r="D41" s="29">
        <v>1</v>
      </c>
      <c r="E41" s="29" t="s">
        <v>73</v>
      </c>
      <c r="F41" s="30">
        <v>112.875</v>
      </c>
      <c r="G41" s="30">
        <v>112.2812</v>
      </c>
      <c r="H41" s="29">
        <v>0</v>
      </c>
      <c r="I41" s="37">
        <v>449.33</v>
      </c>
      <c r="J41" s="31">
        <v>85412.51</v>
      </c>
      <c r="K41" s="38">
        <v>5.3E-3</v>
      </c>
    </row>
    <row r="42" spans="1:11" x14ac:dyDescent="0.25">
      <c r="A42" s="39" t="s">
        <v>142</v>
      </c>
      <c r="B42" t="s">
        <v>58</v>
      </c>
      <c r="C42" t="s">
        <v>150</v>
      </c>
      <c r="D42">
        <v>1</v>
      </c>
      <c r="E42" t="s">
        <v>73</v>
      </c>
      <c r="F42" s="28">
        <v>220.55</v>
      </c>
      <c r="G42" s="28">
        <v>236.77500000000001</v>
      </c>
      <c r="H42">
        <v>0</v>
      </c>
      <c r="I42" s="35">
        <v>-4910.9799999999996</v>
      </c>
      <c r="J42" s="3">
        <v>66756.070000000007</v>
      </c>
      <c r="K42" s="36">
        <v>-6.8500000000000005E-2</v>
      </c>
    </row>
    <row r="43" spans="1:11" x14ac:dyDescent="0.25">
      <c r="A43" s="40" t="s">
        <v>142</v>
      </c>
      <c r="B43" s="29" t="s">
        <v>151</v>
      </c>
      <c r="C43" s="29" t="s">
        <v>152</v>
      </c>
      <c r="D43" s="29">
        <v>1</v>
      </c>
      <c r="E43" s="29" t="s">
        <v>73</v>
      </c>
      <c r="F43" s="30">
        <v>0.72299999999999998</v>
      </c>
      <c r="G43" s="30">
        <v>0.7278</v>
      </c>
      <c r="H43" s="29">
        <v>0</v>
      </c>
      <c r="I43" s="33">
        <v>-363.22</v>
      </c>
      <c r="J43" s="31">
        <v>54709.41</v>
      </c>
      <c r="K43" s="34">
        <v>-6.6E-3</v>
      </c>
    </row>
    <row r="44" spans="1:11" x14ac:dyDescent="0.25">
      <c r="A44" s="39" t="s">
        <v>142</v>
      </c>
      <c r="B44" t="s">
        <v>60</v>
      </c>
      <c r="C44" t="s">
        <v>61</v>
      </c>
      <c r="D44">
        <v>1</v>
      </c>
      <c r="E44" t="s">
        <v>73</v>
      </c>
      <c r="F44" s="28">
        <v>58.11</v>
      </c>
      <c r="G44" s="28">
        <v>62.64</v>
      </c>
      <c r="H44">
        <v>0</v>
      </c>
      <c r="I44" s="35">
        <v>-3427.85</v>
      </c>
      <c r="J44" s="3">
        <v>43971.839999999997</v>
      </c>
      <c r="K44" s="36">
        <v>-7.2300000000000003E-2</v>
      </c>
    </row>
    <row r="45" spans="1:11" x14ac:dyDescent="0.25">
      <c r="A45" s="40" t="s">
        <v>142</v>
      </c>
      <c r="B45" s="29" t="s">
        <v>153</v>
      </c>
      <c r="C45" s="29" t="s">
        <v>154</v>
      </c>
      <c r="D45" s="29">
        <v>1</v>
      </c>
      <c r="E45" s="29" t="s">
        <v>73</v>
      </c>
      <c r="F45" s="30">
        <v>1.75</v>
      </c>
      <c r="G45" s="30">
        <v>1.8160000000000001</v>
      </c>
      <c r="H45" s="29">
        <v>0</v>
      </c>
      <c r="I45" s="33">
        <v>-998.84</v>
      </c>
      <c r="J45" s="31">
        <v>26484.5</v>
      </c>
      <c r="K45" s="34">
        <v>-3.6299999999999999E-2</v>
      </c>
    </row>
    <row r="46" spans="1:11" x14ac:dyDescent="0.25">
      <c r="A46" s="39" t="s">
        <v>155</v>
      </c>
      <c r="B46" t="s">
        <v>51</v>
      </c>
      <c r="C46" t="s">
        <v>52</v>
      </c>
      <c r="D46">
        <v>1</v>
      </c>
      <c r="E46" t="s">
        <v>73</v>
      </c>
      <c r="F46" s="28">
        <v>909</v>
      </c>
      <c r="G46" s="28">
        <v>789</v>
      </c>
      <c r="H46">
        <v>0</v>
      </c>
      <c r="I46" s="32">
        <v>4540.2</v>
      </c>
      <c r="J46" s="3">
        <v>34392.019999999997</v>
      </c>
      <c r="K46" s="5">
        <v>0.15210000000000001</v>
      </c>
    </row>
    <row r="47" spans="1:11" x14ac:dyDescent="0.25">
      <c r="A47" s="40" t="s">
        <v>155</v>
      </c>
      <c r="B47" s="29" t="s">
        <v>156</v>
      </c>
      <c r="C47" s="29" t="s">
        <v>157</v>
      </c>
      <c r="D47" s="29">
        <v>1</v>
      </c>
      <c r="E47" s="29" t="s">
        <v>73</v>
      </c>
      <c r="F47" s="30">
        <v>628.5</v>
      </c>
      <c r="G47" s="30">
        <v>636.75</v>
      </c>
      <c r="H47" s="29">
        <v>0</v>
      </c>
      <c r="I47" s="33">
        <v>-312.14</v>
      </c>
      <c r="J47" s="31">
        <v>23779.3</v>
      </c>
      <c r="K47" s="34">
        <v>-1.2999999999999999E-2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attachment;filename=PortfolioSu</vt:lpstr>
      <vt:lpstr>Open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Marwa Belhadj &lt; 145717 &gt;</cp:lastModifiedBy>
  <dcterms:created xsi:type="dcterms:W3CDTF">2026-03-04T11:17:09Z</dcterms:created>
  <dcterms:modified xsi:type="dcterms:W3CDTF">2026-03-04T11:17:09Z</dcterms:modified>
</cp:coreProperties>
</file>